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ugarcia\Desktop\FANDELI MENSUAL\"/>
    </mc:Choice>
  </mc:AlternateContent>
  <xr:revisionPtr revIDLastSave="0" documentId="13_ncr:1_{1B9A5AAD-4810-4A9D-A844-FF1C7534C1CA}" xr6:coauthVersionLast="36" xr6:coauthVersionMax="36" xr10:uidLastSave="{00000000-0000-0000-0000-000000000000}"/>
  <bookViews>
    <workbookView xWindow="0" yWindow="0" windowWidth="23040" windowHeight="9060" xr2:uid="{184BA93F-0EDB-4E46-ABC0-99C246AC80CE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B3" i="1"/>
  <c r="A4" i="1"/>
  <c r="B4" i="1"/>
  <c r="A5" i="1"/>
  <c r="B5" i="1"/>
  <c r="A6" i="1"/>
  <c r="B6" i="1"/>
  <c r="A7" i="1"/>
  <c r="B7" i="1"/>
  <c r="A8" i="1"/>
  <c r="B8" i="1"/>
  <c r="A9" i="1"/>
  <c r="B9" i="1"/>
  <c r="A10" i="1"/>
  <c r="B10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8" i="1"/>
  <c r="B18" i="1"/>
  <c r="A19" i="1"/>
  <c r="B19" i="1"/>
  <c r="A20" i="1"/>
  <c r="B20" i="1"/>
  <c r="A21" i="1"/>
  <c r="B21" i="1"/>
  <c r="A22" i="1"/>
  <c r="B22" i="1"/>
  <c r="A23" i="1"/>
  <c r="B23" i="1"/>
  <c r="A24" i="1"/>
  <c r="B24" i="1"/>
  <c r="A25" i="1"/>
  <c r="B25" i="1"/>
  <c r="A26" i="1"/>
  <c r="B26" i="1"/>
  <c r="A27" i="1"/>
  <c r="B27" i="1"/>
  <c r="A28" i="1"/>
  <c r="B28" i="1"/>
  <c r="A29" i="1"/>
  <c r="B29" i="1"/>
  <c r="A30" i="1"/>
  <c r="B30" i="1"/>
  <c r="A31" i="1"/>
  <c r="B31" i="1"/>
  <c r="A32" i="1"/>
  <c r="B32" i="1"/>
  <c r="A33" i="1"/>
  <c r="B33" i="1"/>
  <c r="A34" i="1"/>
  <c r="B34" i="1"/>
  <c r="A35" i="1"/>
  <c r="B35" i="1"/>
  <c r="A36" i="1"/>
  <c r="B36" i="1"/>
  <c r="A37" i="1"/>
  <c r="B37" i="1"/>
  <c r="A38" i="1"/>
  <c r="B38" i="1"/>
  <c r="A39" i="1"/>
  <c r="B39" i="1"/>
  <c r="A40" i="1"/>
  <c r="B40" i="1"/>
  <c r="A41" i="1"/>
  <c r="B41" i="1"/>
  <c r="A42" i="1"/>
  <c r="B42" i="1"/>
  <c r="A43" i="1"/>
  <c r="B43" i="1"/>
  <c r="A44" i="1"/>
  <c r="B44" i="1"/>
  <c r="A45" i="1"/>
  <c r="B45" i="1"/>
  <c r="A46" i="1"/>
  <c r="B46" i="1"/>
  <c r="A47" i="1"/>
  <c r="B47" i="1"/>
  <c r="A48" i="1"/>
  <c r="B48" i="1"/>
  <c r="A49" i="1"/>
  <c r="B49" i="1"/>
  <c r="A50" i="1"/>
  <c r="B50" i="1"/>
  <c r="A51" i="1"/>
  <c r="B51" i="1"/>
  <c r="A52" i="1"/>
  <c r="B52" i="1"/>
  <c r="A53" i="1"/>
  <c r="B53" i="1"/>
  <c r="A54" i="1"/>
  <c r="B54" i="1"/>
  <c r="A55" i="1"/>
  <c r="B55" i="1"/>
  <c r="A56" i="1"/>
  <c r="B56" i="1"/>
  <c r="A57" i="1"/>
  <c r="B57" i="1"/>
  <c r="A58" i="1"/>
  <c r="B58" i="1"/>
  <c r="A59" i="1"/>
  <c r="B59" i="1"/>
  <c r="A60" i="1"/>
  <c r="B60" i="1"/>
  <c r="A61" i="1"/>
  <c r="B61" i="1"/>
  <c r="A62" i="1"/>
  <c r="B62" i="1"/>
  <c r="A63" i="1"/>
  <c r="B63" i="1"/>
  <c r="A64" i="1"/>
  <c r="B64" i="1"/>
  <c r="A65" i="1"/>
  <c r="B65" i="1"/>
  <c r="A66" i="1"/>
  <c r="B66" i="1"/>
  <c r="A67" i="1"/>
  <c r="B67" i="1"/>
  <c r="A68" i="1"/>
  <c r="B68" i="1"/>
  <c r="A69" i="1"/>
  <c r="B69" i="1"/>
  <c r="A70" i="1"/>
  <c r="B70" i="1"/>
  <c r="A71" i="1"/>
  <c r="B71" i="1"/>
  <c r="A72" i="1"/>
  <c r="B72" i="1"/>
  <c r="A73" i="1"/>
  <c r="B73" i="1"/>
  <c r="A74" i="1"/>
  <c r="B74" i="1"/>
  <c r="A75" i="1"/>
  <c r="B75" i="1"/>
  <c r="A76" i="1"/>
  <c r="B76" i="1"/>
  <c r="A77" i="1"/>
  <c r="B77" i="1"/>
  <c r="A78" i="1"/>
  <c r="B78" i="1"/>
  <c r="A79" i="1"/>
  <c r="B79" i="1"/>
  <c r="A80" i="1"/>
  <c r="B80" i="1"/>
  <c r="A81" i="1"/>
  <c r="B81" i="1"/>
  <c r="A82" i="1"/>
  <c r="B82" i="1"/>
  <c r="A83" i="1"/>
  <c r="B83" i="1"/>
  <c r="A84" i="1"/>
  <c r="B84" i="1"/>
  <c r="A85" i="1"/>
  <c r="B85" i="1"/>
  <c r="A86" i="1"/>
  <c r="B86" i="1"/>
  <c r="A87" i="1"/>
  <c r="B87" i="1"/>
  <c r="A88" i="1"/>
  <c r="B88" i="1"/>
  <c r="A89" i="1"/>
  <c r="B89" i="1"/>
  <c r="A90" i="1"/>
  <c r="B90" i="1"/>
  <c r="A91" i="1"/>
  <c r="B91" i="1"/>
  <c r="A92" i="1"/>
  <c r="B92" i="1"/>
  <c r="A93" i="1"/>
  <c r="B93" i="1"/>
  <c r="A94" i="1"/>
  <c r="B94" i="1"/>
  <c r="A95" i="1"/>
  <c r="B95" i="1"/>
  <c r="A96" i="1"/>
  <c r="B96" i="1"/>
  <c r="A97" i="1"/>
  <c r="B97" i="1"/>
  <c r="A98" i="1"/>
  <c r="B98" i="1"/>
  <c r="A99" i="1"/>
  <c r="B99" i="1"/>
  <c r="A100" i="1"/>
  <c r="B100" i="1"/>
  <c r="A101" i="1"/>
  <c r="B101" i="1"/>
  <c r="A102" i="1"/>
  <c r="B102" i="1"/>
  <c r="A103" i="1"/>
  <c r="B103" i="1"/>
  <c r="A104" i="1"/>
  <c r="B104" i="1"/>
  <c r="A105" i="1"/>
  <c r="B105" i="1"/>
  <c r="A106" i="1"/>
  <c r="B106" i="1"/>
  <c r="A107" i="1"/>
  <c r="B107" i="1"/>
  <c r="A108" i="1"/>
  <c r="B108" i="1"/>
  <c r="A109" i="1"/>
  <c r="B109" i="1"/>
  <c r="A110" i="1"/>
  <c r="B110" i="1"/>
  <c r="A111" i="1"/>
  <c r="B111" i="1"/>
  <c r="A112" i="1"/>
  <c r="B112" i="1"/>
  <c r="A113" i="1"/>
  <c r="B113" i="1"/>
  <c r="A114" i="1"/>
  <c r="B114" i="1"/>
  <c r="A115" i="1"/>
  <c r="B115" i="1"/>
  <c r="A116" i="1"/>
  <c r="B116" i="1"/>
  <c r="A117" i="1"/>
  <c r="B117" i="1"/>
  <c r="A118" i="1"/>
  <c r="B118" i="1"/>
  <c r="A119" i="1"/>
  <c r="B119" i="1"/>
  <c r="A120" i="1"/>
  <c r="B120" i="1"/>
  <c r="B2" i="1"/>
  <c r="A2" i="1"/>
</calcChain>
</file>

<file path=xl/sharedStrings.xml><?xml version="1.0" encoding="utf-8"?>
<sst xmlns="http://schemas.openxmlformats.org/spreadsheetml/2006/main" count="122" uniqueCount="39">
  <si>
    <t>CATEGORIA</t>
  </si>
  <si>
    <t>SUBCATEGORIA</t>
  </si>
  <si>
    <t>CATEGORIA COMPLETA</t>
  </si>
  <si>
    <t>SERVICIO DE CNC.DESPLIEGUE DE PAQUETES DESARROLLO</t>
  </si>
  <si>
    <t>SERVICIO DE CNC.REVISIÓN DE ERRORES GENERALES EN EL SISTEMA</t>
  </si>
  <si>
    <t>SERVICIO DE CNC.USUARIOS/ROLES</t>
  </si>
  <si>
    <t>SERVICIO DE CNC.MANTENIMIENTO DEL SISTEMA</t>
  </si>
  <si>
    <t>SERVICIO DE INFRAESTRUCTURA FANDELI.CONFIGURACIÓN DE INFRAESTRUCTURA</t>
  </si>
  <si>
    <t>SERVICIO DE CNC.DESPLIEGUE DE PAQUETES PRODUCCIÓN</t>
  </si>
  <si>
    <t>SERVICIO DE CONTACT CENTER.PROBLEMAS CONTACT CENTER</t>
  </si>
  <si>
    <t>SERVICIO DE FINANZAS.CONTABILIDAD GENERAL</t>
  </si>
  <si>
    <t>SERVICIO DE CNC.REVISIÓN DE PERFORMANCE DEL SISTEMA</t>
  </si>
  <si>
    <t>SERVICIO DE DESARROLLO JDE.HALLAZGO/BUG DE DESARROLLO</t>
  </si>
  <si>
    <t>SERVICIO DE CONTACT CENTER.CONFERENCIA</t>
  </si>
  <si>
    <t>SERVICIO DE INFRAESTRUCTURA FANDELI.ABC EN AD</t>
  </si>
  <si>
    <t>SERVICIO DE INFRAESTRUCTURA FANDELI.ABCM EN DISTRIBUCIÓN DE PARCHES</t>
  </si>
  <si>
    <t>SERVICIO DE INFRAESTRUCTURA FANDELI.REVISIÓN DE EQUIPOS EN CONSOLAS</t>
  </si>
  <si>
    <t>SERVICIO DE INFRAESTRUCTURA FANDELI.ABC EN CORREO</t>
  </si>
  <si>
    <t>SERVICIO DE INFRAESTRUCTURA FANDELI.MANTENIMIENTO DE SERVIDORES</t>
  </si>
  <si>
    <t>SERVICIO DE DBA.REVISIÓN DE PERFORMANCE DE LA BASE DE DATOS</t>
  </si>
  <si>
    <t>SERVICIO DE DBA.IMPORTACIÓN/EXPORTACIÓN DE INFORMACIÓN</t>
  </si>
  <si>
    <t>SERVICIO DE INFRAESTRUCTURA FANDELI.ABC EN POLÍTICAS AD</t>
  </si>
  <si>
    <t>SERVICIO DE INFRAESTRUCTURA FANDELI.ABC EN RECURSOS COMPARTIDOS</t>
  </si>
  <si>
    <t>SERVICIO DE WEBSERVICE ONEST.NO RECIBE INFORMACIÓN</t>
  </si>
  <si>
    <t>SERVICIO DE INFRAESTRUCTURA FANDELI.RESPALDOS</t>
  </si>
  <si>
    <t>SERVICIO DE INFRAESTRUCTURA FANDELI.ABC EN DHCP</t>
  </si>
  <si>
    <t>SERVICIO DE INFRAESTRUCTURA.SERVIDORES .CONFIGURACIÓN DE SERVIDOR</t>
  </si>
  <si>
    <t>SERVICIO DE CNC.CLIENTE DE DESARROLLO</t>
  </si>
  <si>
    <t>SERVICIO DE INFRAESTRUCTURA FANDELI.ABCM EN ITCM</t>
  </si>
  <si>
    <t>SERVICIO DE INFRAESTRUCTURA FANDELI.SOPORTE APLICATIVO.POS</t>
  </si>
  <si>
    <t>SERVICIO DE WEBSERVICE ONEST.NO PROCESA LOS REGISTROS</t>
  </si>
  <si>
    <t>SERVICIO DE INFRAESTRUCTURA FANDELI.RESTAURACIÓNES</t>
  </si>
  <si>
    <t>SERVICIO DE CONTACT CENTER.MONITOREO</t>
  </si>
  <si>
    <t>SERVICIO DE FINANZAS.CUENTAS POR COBRAR</t>
  </si>
  <si>
    <t>SERVICIO DE INFRAESTRUCTURA FANDELI.ASIGNACIÓN DE PERMISOS ADMINISTRATIVOS</t>
  </si>
  <si>
    <t>SERVICIO DE FACTURACIÓN 3_3.LA INFORMACIÓN DEL XML O PDF ES INCORRECTA</t>
  </si>
  <si>
    <t>SERVICIO DE INFRAESTRUCTURA FANDELI.GENERACIÓN DE REPORTES</t>
  </si>
  <si>
    <t>SERVICIO DE DBA.MANTENIMIENTO DE LA BASE DE DATOS</t>
  </si>
  <si>
    <t>SERVICIO DE FINANZAS.ACTIVO FIJO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</si>
</sst>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B86E5-EC7D-4FCB-947A-9403E8FF926E}">
  <dimension ref="A1:D120"/>
  <sheetViews>
    <sheetView tabSelected="1" workbookViewId="0">
      <selection activeCell="B106" sqref="A2:B106"/>
    </sheetView>
  </sheetViews>
  <sheetFormatPr baseColWidth="10" defaultRowHeight="14.4" x14ac:dyDescent="0.3"/>
  <cols>
    <col min="1" max="1" width="37" customWidth="1"/>
    <col min="2" max="2" width="33.6640625" customWidth="1"/>
    <col min="3" max="3" width="5" customWidth="1"/>
    <col min="4" max="4" width="72.6640625" customWidth="1"/>
  </cols>
  <sheetData>
    <row r="1" spans="1:4" x14ac:dyDescent="0.3">
      <c r="A1" s="3" t="s">
        <v>0</v>
      </c>
      <c r="B1" s="3" t="s">
        <v>1</v>
      </c>
      <c r="C1" s="3"/>
      <c r="D1" s="3" t="s">
        <v>2</v>
      </c>
    </row>
    <row r="2" spans="1:4" x14ac:dyDescent="0.3">
      <c r="A2" t="str">
        <f>MID(D2,1,FIND(".",D2,1)-1)</f>
        <v>SERVICIO DE CNC</v>
      </c>
      <c r="B2" t="str">
        <f>MID(D2,FIND(".",D2,1)+1,LEN(D2)-FIND(".",D2))</f>
        <v>DESPLIEGUE DE PAQUETES DESARROLLO</v>
      </c>
      <c r="D2" s="1" t="s">
        <v>3</v>
      </c>
    </row>
    <row r="3" spans="1:4" x14ac:dyDescent="0.3">
      <c r="A3" t="str">
        <f t="shared" ref="A3:A66" si="0">MID(D3,1,FIND(".",D3,1)-1)</f>
        <v>SERVICIO DE CNC</v>
      </c>
      <c r="B3" t="str">
        <f t="shared" ref="B3:B66" si="1">MID(D3,FIND(".",D3,1)+1,LEN(D3)-FIND(".",D3))</f>
        <v>DESPLIEGUE DE PAQUETES DESARROLLO</v>
      </c>
      <c r="D3" s="2" t="s">
        <v>3</v>
      </c>
    </row>
    <row r="4" spans="1:4" x14ac:dyDescent="0.3">
      <c r="A4" t="str">
        <f t="shared" si="0"/>
        <v>SERVICIO DE CNC</v>
      </c>
      <c r="B4" t="str">
        <f t="shared" si="1"/>
        <v>MANTENIMIENTO DEL SISTEMA</v>
      </c>
      <c r="D4" s="1" t="s">
        <v>6</v>
      </c>
    </row>
    <row r="5" spans="1:4" x14ac:dyDescent="0.3">
      <c r="A5" t="str">
        <f t="shared" si="0"/>
        <v>SERVICIO DE CNC</v>
      </c>
      <c r="B5" t="str">
        <f t="shared" si="1"/>
        <v>DESPLIEGUE DE PAQUETES DESARROLLO</v>
      </c>
      <c r="D5" s="2" t="s">
        <v>3</v>
      </c>
    </row>
    <row r="6" spans="1:4" x14ac:dyDescent="0.3">
      <c r="A6" t="str">
        <f t="shared" si="0"/>
        <v>SERVICIO DE CNC</v>
      </c>
      <c r="B6" t="str">
        <f t="shared" si="1"/>
        <v>DESPLIEGUE DE PAQUETES DESARROLLO</v>
      </c>
      <c r="D6" s="1" t="s">
        <v>3</v>
      </c>
    </row>
    <row r="7" spans="1:4" x14ac:dyDescent="0.3">
      <c r="A7" t="str">
        <f t="shared" si="0"/>
        <v>SERVICIO DE CNC</v>
      </c>
      <c r="B7" t="str">
        <f t="shared" si="1"/>
        <v>DESPLIEGUE DE PAQUETES DESARROLLO</v>
      </c>
      <c r="D7" s="2" t="s">
        <v>3</v>
      </c>
    </row>
    <row r="8" spans="1:4" x14ac:dyDescent="0.3">
      <c r="A8" t="str">
        <f t="shared" si="0"/>
        <v>SERVICIO DE INFRAESTRUCTURA FANDELI</v>
      </c>
      <c r="B8" t="str">
        <f t="shared" si="1"/>
        <v>ABC EN AD</v>
      </c>
      <c r="D8" s="1" t="s">
        <v>14</v>
      </c>
    </row>
    <row r="9" spans="1:4" x14ac:dyDescent="0.3">
      <c r="A9" t="str">
        <f t="shared" si="0"/>
        <v>SERVICIO DE CNC</v>
      </c>
      <c r="B9" t="str">
        <f t="shared" si="1"/>
        <v>DESPLIEGUE DE PAQUETES DESARROLLO</v>
      </c>
      <c r="D9" s="2" t="s">
        <v>3</v>
      </c>
    </row>
    <row r="10" spans="1:4" x14ac:dyDescent="0.3">
      <c r="A10" t="str">
        <f t="shared" si="0"/>
        <v>SERVICIO DE INFRAESTRUCTURA FANDELI</v>
      </c>
      <c r="B10" t="str">
        <f t="shared" si="1"/>
        <v>ABC EN DHCP</v>
      </c>
      <c r="D10" s="1" t="s">
        <v>25</v>
      </c>
    </row>
    <row r="11" spans="1:4" x14ac:dyDescent="0.3">
      <c r="A11" t="str">
        <f t="shared" si="0"/>
        <v>SERVICIO DE INFRAESTRUCTURA FANDELI</v>
      </c>
      <c r="B11" t="str">
        <f t="shared" si="1"/>
        <v>MANTENIMIENTO DE SERVIDORES</v>
      </c>
      <c r="D11" s="2" t="s">
        <v>18</v>
      </c>
    </row>
    <row r="12" spans="1:4" x14ac:dyDescent="0.3">
      <c r="A12" t="str">
        <f t="shared" si="0"/>
        <v>SERVICIO DE CNC</v>
      </c>
      <c r="B12" t="str">
        <f t="shared" si="1"/>
        <v>DESPLIEGUE DE PAQUETES PRODUCCIÓN</v>
      </c>
      <c r="D12" s="1" t="s">
        <v>8</v>
      </c>
    </row>
    <row r="13" spans="1:4" x14ac:dyDescent="0.3">
      <c r="A13" t="str">
        <f t="shared" si="0"/>
        <v>SERVICIO DE INFRAESTRUCTURA</v>
      </c>
      <c r="B13" t="str">
        <f t="shared" si="1"/>
        <v>SERVIDORES .CONFIGURACIÓN DE SERVIDOR</v>
      </c>
      <c r="D13" s="2" t="s">
        <v>26</v>
      </c>
    </row>
    <row r="14" spans="1:4" x14ac:dyDescent="0.3">
      <c r="A14" t="str">
        <f t="shared" si="0"/>
        <v>SERVICIO DE CNC</v>
      </c>
      <c r="B14" t="str">
        <f t="shared" si="1"/>
        <v>DESPLIEGUE DE PAQUETES PRODUCCIÓN</v>
      </c>
      <c r="D14" s="1" t="s">
        <v>8</v>
      </c>
    </row>
    <row r="15" spans="1:4" x14ac:dyDescent="0.3">
      <c r="A15" t="str">
        <f t="shared" si="0"/>
        <v>SERVICIO DE CNC</v>
      </c>
      <c r="B15" t="str">
        <f t="shared" si="1"/>
        <v>CLIENTE DE DESARROLLO</v>
      </c>
      <c r="D15" s="2" t="s">
        <v>27</v>
      </c>
    </row>
    <row r="16" spans="1:4" x14ac:dyDescent="0.3">
      <c r="A16" t="str">
        <f t="shared" si="0"/>
        <v>SERVICIO DE CNC</v>
      </c>
      <c r="B16" t="str">
        <f t="shared" si="1"/>
        <v>DESPLIEGUE DE PAQUETES DESARROLLO</v>
      </c>
      <c r="D16" s="1" t="s">
        <v>3</v>
      </c>
    </row>
    <row r="17" spans="1:4" x14ac:dyDescent="0.3">
      <c r="A17" t="str">
        <f t="shared" si="0"/>
        <v>SERVICIO DE CNC</v>
      </c>
      <c r="B17" t="str">
        <f t="shared" si="1"/>
        <v>USUARIOS/ROLES</v>
      </c>
      <c r="D17" s="2" t="s">
        <v>5</v>
      </c>
    </row>
    <row r="18" spans="1:4" x14ac:dyDescent="0.3">
      <c r="A18" t="str">
        <f t="shared" si="0"/>
        <v>SERVICIO DE CNC</v>
      </c>
      <c r="B18" t="str">
        <f t="shared" si="1"/>
        <v>REVISIÓN DE PERFORMANCE DEL SISTEMA</v>
      </c>
      <c r="D18" s="1" t="s">
        <v>11</v>
      </c>
    </row>
    <row r="19" spans="1:4" x14ac:dyDescent="0.3">
      <c r="A19" t="str">
        <f t="shared" si="0"/>
        <v>SERVICIO DE CNC</v>
      </c>
      <c r="B19" t="str">
        <f t="shared" si="1"/>
        <v>DESPLIEGUE DE PAQUETES DESARROLLO</v>
      </c>
      <c r="D19" s="2" t="s">
        <v>3</v>
      </c>
    </row>
    <row r="20" spans="1:4" x14ac:dyDescent="0.3">
      <c r="A20" t="str">
        <f t="shared" si="0"/>
        <v>SERVICIO DE CNC</v>
      </c>
      <c r="B20" t="str">
        <f t="shared" si="1"/>
        <v>DESPLIEGUE DE PAQUETES DESARROLLO</v>
      </c>
      <c r="D20" s="1" t="s">
        <v>3</v>
      </c>
    </row>
    <row r="21" spans="1:4" x14ac:dyDescent="0.3">
      <c r="A21" t="str">
        <f t="shared" si="0"/>
        <v>SERVICIO DE INFRAESTRUCTURA FANDELI</v>
      </c>
      <c r="B21" t="str">
        <f t="shared" si="1"/>
        <v>ABC EN CORREO</v>
      </c>
      <c r="D21" s="2" t="s">
        <v>17</v>
      </c>
    </row>
    <row r="22" spans="1:4" x14ac:dyDescent="0.3">
      <c r="A22" t="str">
        <f t="shared" si="0"/>
        <v>SERVICIO DE CONTACT CENTER</v>
      </c>
      <c r="B22" t="str">
        <f t="shared" si="1"/>
        <v>PROBLEMAS CONTACT CENTER</v>
      </c>
      <c r="D22" s="1" t="s">
        <v>9</v>
      </c>
    </row>
    <row r="23" spans="1:4" x14ac:dyDescent="0.3">
      <c r="A23" t="str">
        <f t="shared" si="0"/>
        <v>SERVICIO DE INFRAESTRUCTURA FANDELI</v>
      </c>
      <c r="B23" t="str">
        <f t="shared" si="1"/>
        <v>ABC EN AD</v>
      </c>
      <c r="D23" s="2" t="s">
        <v>14</v>
      </c>
    </row>
    <row r="24" spans="1:4" x14ac:dyDescent="0.3">
      <c r="A24" t="str">
        <f t="shared" si="0"/>
        <v>SERVICIO DE INFRAESTRUCTURA FANDELI</v>
      </c>
      <c r="B24" t="str">
        <f t="shared" si="1"/>
        <v>ABC EN CORREO</v>
      </c>
      <c r="D24" s="1" t="s">
        <v>17</v>
      </c>
    </row>
    <row r="25" spans="1:4" x14ac:dyDescent="0.3">
      <c r="A25" t="str">
        <f t="shared" si="0"/>
        <v>SERVICIO DE CNC</v>
      </c>
      <c r="B25" t="str">
        <f t="shared" si="1"/>
        <v>DESPLIEGUE DE PAQUETES DESARROLLO</v>
      </c>
      <c r="D25" s="2" t="s">
        <v>3</v>
      </c>
    </row>
    <row r="26" spans="1:4" x14ac:dyDescent="0.3">
      <c r="A26" t="str">
        <f t="shared" si="0"/>
        <v>SERVICIO DE CNC</v>
      </c>
      <c r="B26" t="str">
        <f t="shared" si="1"/>
        <v>DESPLIEGUE DE PAQUETES DESARROLLO</v>
      </c>
      <c r="D26" s="1" t="s">
        <v>3</v>
      </c>
    </row>
    <row r="27" spans="1:4" x14ac:dyDescent="0.3">
      <c r="A27" t="str">
        <f t="shared" si="0"/>
        <v>SERVICIO DE CNC</v>
      </c>
      <c r="B27" t="str">
        <f t="shared" si="1"/>
        <v>DESPLIEGUE DE PAQUETES DESARROLLO</v>
      </c>
      <c r="D27" s="2" t="s">
        <v>3</v>
      </c>
    </row>
    <row r="28" spans="1:4" x14ac:dyDescent="0.3">
      <c r="A28" t="str">
        <f t="shared" si="0"/>
        <v>SERVICIO DE CNC</v>
      </c>
      <c r="B28" t="str">
        <f t="shared" si="1"/>
        <v>DESPLIEGUE DE PAQUETES DESARROLLO</v>
      </c>
      <c r="D28" s="1" t="s">
        <v>3</v>
      </c>
    </row>
    <row r="29" spans="1:4" x14ac:dyDescent="0.3">
      <c r="A29" t="str">
        <f t="shared" si="0"/>
        <v>SERVICIO DE CNC</v>
      </c>
      <c r="B29" t="str">
        <f t="shared" si="1"/>
        <v>USUARIOS/ROLES</v>
      </c>
      <c r="D29" s="2" t="s">
        <v>5</v>
      </c>
    </row>
    <row r="30" spans="1:4" x14ac:dyDescent="0.3">
      <c r="A30" t="str">
        <f t="shared" si="0"/>
        <v>SERVICIO DE INFRAESTRUCTURA FANDELI</v>
      </c>
      <c r="B30" t="str">
        <f t="shared" si="1"/>
        <v>ABC EN AD</v>
      </c>
      <c r="D30" s="1" t="s">
        <v>14</v>
      </c>
    </row>
    <row r="31" spans="1:4" x14ac:dyDescent="0.3">
      <c r="A31" t="str">
        <f t="shared" si="0"/>
        <v>SERVICIO DE INFRAESTRUCTURA FANDELI</v>
      </c>
      <c r="B31" t="str">
        <f t="shared" si="1"/>
        <v>ABCM EN ITCM</v>
      </c>
      <c r="D31" s="2" t="s">
        <v>28</v>
      </c>
    </row>
    <row r="32" spans="1:4" x14ac:dyDescent="0.3">
      <c r="A32" t="str">
        <f t="shared" si="0"/>
        <v>SERVICIO DE CNC</v>
      </c>
      <c r="B32" t="str">
        <f t="shared" si="1"/>
        <v>DESPLIEGUE DE PAQUETES DESARROLLO</v>
      </c>
      <c r="D32" s="1" t="s">
        <v>3</v>
      </c>
    </row>
    <row r="33" spans="1:4" x14ac:dyDescent="0.3">
      <c r="A33" t="str">
        <f t="shared" si="0"/>
        <v>SERVICIO DE CNC</v>
      </c>
      <c r="B33" t="str">
        <f t="shared" si="1"/>
        <v>DESPLIEGUE DE PAQUETES DESARROLLO</v>
      </c>
      <c r="D33" s="2" t="s">
        <v>3</v>
      </c>
    </row>
    <row r="34" spans="1:4" x14ac:dyDescent="0.3">
      <c r="A34" t="str">
        <f t="shared" si="0"/>
        <v>SERVICIO DE INFRAESTRUCTURA FANDELI</v>
      </c>
      <c r="B34" t="str">
        <f t="shared" si="1"/>
        <v>ABC EN AD</v>
      </c>
      <c r="D34" s="1" t="s">
        <v>14</v>
      </c>
    </row>
    <row r="35" spans="1:4" x14ac:dyDescent="0.3">
      <c r="A35" t="str">
        <f t="shared" si="0"/>
        <v>SERVICIO DE INFRAESTRUCTURA FANDELI</v>
      </c>
      <c r="B35" t="str">
        <f t="shared" si="1"/>
        <v>RESPALDOS</v>
      </c>
      <c r="D35" s="2" t="s">
        <v>24</v>
      </c>
    </row>
    <row r="36" spans="1:4" x14ac:dyDescent="0.3">
      <c r="A36" t="str">
        <f t="shared" si="0"/>
        <v>SERVICIO DE INFRAESTRUCTURA FANDELI</v>
      </c>
      <c r="B36" t="str">
        <f t="shared" si="1"/>
        <v>SOPORTE APLICATIVO.POS</v>
      </c>
      <c r="D36" s="1" t="s">
        <v>29</v>
      </c>
    </row>
    <row r="37" spans="1:4" x14ac:dyDescent="0.3">
      <c r="A37" t="str">
        <f t="shared" si="0"/>
        <v>SERVICIO DE WEBSERVICE ONEST</v>
      </c>
      <c r="B37" t="str">
        <f t="shared" si="1"/>
        <v>NO PROCESA LOS REGISTROS</v>
      </c>
      <c r="D37" s="2" t="s">
        <v>30</v>
      </c>
    </row>
    <row r="38" spans="1:4" x14ac:dyDescent="0.3">
      <c r="A38" t="str">
        <f t="shared" si="0"/>
        <v>SERVICIO DE CNC</v>
      </c>
      <c r="B38" t="str">
        <f t="shared" si="1"/>
        <v>USUARIOS/ROLES</v>
      </c>
      <c r="D38" s="1" t="s">
        <v>5</v>
      </c>
    </row>
    <row r="39" spans="1:4" x14ac:dyDescent="0.3">
      <c r="A39" t="str">
        <f t="shared" si="0"/>
        <v>SERVICIO DE INFRAESTRUCTURA FANDELI</v>
      </c>
      <c r="B39" t="str">
        <f t="shared" si="1"/>
        <v>MANTENIMIENTO DE SERVIDORES</v>
      </c>
      <c r="D39" s="2" t="s">
        <v>18</v>
      </c>
    </row>
    <row r="40" spans="1:4" x14ac:dyDescent="0.3">
      <c r="A40" t="str">
        <f t="shared" si="0"/>
        <v>SERVICIO DE INFRAESTRUCTURA FANDELI</v>
      </c>
      <c r="B40" t="str">
        <f t="shared" si="1"/>
        <v>RESTAURACIÓNES</v>
      </c>
      <c r="D40" s="1" t="s">
        <v>31</v>
      </c>
    </row>
    <row r="41" spans="1:4" x14ac:dyDescent="0.3">
      <c r="A41" t="str">
        <f t="shared" si="0"/>
        <v>SERVICIO DE CONTACT CENTER</v>
      </c>
      <c r="B41" t="str">
        <f t="shared" si="1"/>
        <v>MONITOREO</v>
      </c>
      <c r="D41" s="2" t="s">
        <v>32</v>
      </c>
    </row>
    <row r="42" spans="1:4" x14ac:dyDescent="0.3">
      <c r="A42" t="str">
        <f t="shared" si="0"/>
        <v>SERVICIO DE INFRAESTRUCTURA FANDELI</v>
      </c>
      <c r="B42" t="str">
        <f t="shared" si="1"/>
        <v>MANTENIMIENTO DE SERVIDORES</v>
      </c>
      <c r="D42" s="1" t="s">
        <v>18</v>
      </c>
    </row>
    <row r="43" spans="1:4" x14ac:dyDescent="0.3">
      <c r="A43" t="str">
        <f t="shared" si="0"/>
        <v>SERVICIO DE CNC</v>
      </c>
      <c r="B43" t="str">
        <f t="shared" si="1"/>
        <v>USUARIOS/ROLES</v>
      </c>
      <c r="D43" s="2" t="s">
        <v>5</v>
      </c>
    </row>
    <row r="44" spans="1:4" x14ac:dyDescent="0.3">
      <c r="A44" t="str">
        <f t="shared" si="0"/>
        <v>SERVICIO DE INFRAESTRUCTURA FANDELI</v>
      </c>
      <c r="B44" t="str">
        <f t="shared" si="1"/>
        <v>REVISIÓN DE EQUIPOS EN CONSOLAS</v>
      </c>
      <c r="D44" s="1" t="s">
        <v>16</v>
      </c>
    </row>
    <row r="45" spans="1:4" x14ac:dyDescent="0.3">
      <c r="A45" t="str">
        <f t="shared" si="0"/>
        <v>SERVICIO DE CNC</v>
      </c>
      <c r="B45" t="str">
        <f t="shared" si="1"/>
        <v>DESPLIEGUE DE PAQUETES DESARROLLO</v>
      </c>
      <c r="D45" s="2" t="s">
        <v>3</v>
      </c>
    </row>
    <row r="46" spans="1:4" x14ac:dyDescent="0.3">
      <c r="A46" t="str">
        <f t="shared" si="0"/>
        <v>SERVICIO DE INFRAESTRUCTURA FANDELI</v>
      </c>
      <c r="B46" t="str">
        <f t="shared" si="1"/>
        <v>ABCM EN ITCM</v>
      </c>
      <c r="D46" s="1" t="s">
        <v>28</v>
      </c>
    </row>
    <row r="47" spans="1:4" x14ac:dyDescent="0.3">
      <c r="A47" t="str">
        <f t="shared" si="0"/>
        <v>SERVICIO DE INFRAESTRUCTURA FANDELI</v>
      </c>
      <c r="B47" t="str">
        <f t="shared" si="1"/>
        <v>ABCM EN ITCM</v>
      </c>
      <c r="D47" s="2" t="s">
        <v>28</v>
      </c>
    </row>
    <row r="48" spans="1:4" x14ac:dyDescent="0.3">
      <c r="A48" t="str">
        <f t="shared" si="0"/>
        <v>SERVICIO DE INFRAESTRUCTURA FANDELI</v>
      </c>
      <c r="B48" t="str">
        <f t="shared" si="1"/>
        <v>ABCM EN ITCM</v>
      </c>
      <c r="D48" s="1" t="s">
        <v>28</v>
      </c>
    </row>
    <row r="49" spans="1:4" x14ac:dyDescent="0.3">
      <c r="A49" t="str">
        <f t="shared" si="0"/>
        <v>SERVICIO DE CNC</v>
      </c>
      <c r="B49" t="str">
        <f t="shared" si="1"/>
        <v>DESPLIEGUE DE PAQUETES DESARROLLO</v>
      </c>
      <c r="D49" s="2" t="s">
        <v>3</v>
      </c>
    </row>
    <row r="50" spans="1:4" x14ac:dyDescent="0.3">
      <c r="A50" t="str">
        <f t="shared" si="0"/>
        <v>SERVICIO DE CNC</v>
      </c>
      <c r="B50" t="str">
        <f t="shared" si="1"/>
        <v>DESPLIEGUE DE PAQUETES DESARROLLO</v>
      </c>
      <c r="D50" s="1" t="s">
        <v>3</v>
      </c>
    </row>
    <row r="51" spans="1:4" x14ac:dyDescent="0.3">
      <c r="A51" t="str">
        <f t="shared" si="0"/>
        <v>SERVICIO DE CNC</v>
      </c>
      <c r="B51" t="str">
        <f t="shared" si="1"/>
        <v>MANTENIMIENTO DEL SISTEMA</v>
      </c>
      <c r="D51" s="2" t="s">
        <v>6</v>
      </c>
    </row>
    <row r="52" spans="1:4" x14ac:dyDescent="0.3">
      <c r="A52" t="str">
        <f t="shared" si="0"/>
        <v>SERVICIO DE CNC</v>
      </c>
      <c r="B52" t="str">
        <f t="shared" si="1"/>
        <v>REVISIÓN DE ERRORES GENERALES EN EL SISTEMA</v>
      </c>
      <c r="D52" s="1" t="s">
        <v>4</v>
      </c>
    </row>
    <row r="53" spans="1:4" x14ac:dyDescent="0.3">
      <c r="A53" t="str">
        <f t="shared" si="0"/>
        <v>SERVICIO DE CNC</v>
      </c>
      <c r="B53" t="str">
        <f t="shared" si="1"/>
        <v>REVISIÓN DE ERRORES GENERALES EN EL SISTEMA</v>
      </c>
      <c r="D53" s="2" t="s">
        <v>4</v>
      </c>
    </row>
    <row r="54" spans="1:4" x14ac:dyDescent="0.3">
      <c r="A54" t="str">
        <f t="shared" si="0"/>
        <v>SERVICIO DE FINANZAS</v>
      </c>
      <c r="B54" t="str">
        <f t="shared" si="1"/>
        <v>CUENTAS POR COBRAR</v>
      </c>
      <c r="D54" s="1" t="s">
        <v>33</v>
      </c>
    </row>
    <row r="55" spans="1:4" x14ac:dyDescent="0.3">
      <c r="A55" t="str">
        <f t="shared" si="0"/>
        <v>SERVICIO DE CNC</v>
      </c>
      <c r="B55" t="str">
        <f t="shared" si="1"/>
        <v>MANTENIMIENTO DEL SISTEMA</v>
      </c>
      <c r="D55" s="2" t="s">
        <v>6</v>
      </c>
    </row>
    <row r="56" spans="1:4" x14ac:dyDescent="0.3">
      <c r="A56" t="str">
        <f t="shared" si="0"/>
        <v>SERVICIO DE CNC</v>
      </c>
      <c r="B56" t="str">
        <f t="shared" si="1"/>
        <v>USUARIOS/ROLES</v>
      </c>
      <c r="D56" s="1" t="s">
        <v>5</v>
      </c>
    </row>
    <row r="57" spans="1:4" x14ac:dyDescent="0.3">
      <c r="A57" t="str">
        <f t="shared" si="0"/>
        <v>SERVICIO DE INFRAESTRUCTURA FANDELI</v>
      </c>
      <c r="B57" t="str">
        <f t="shared" si="1"/>
        <v>ABCM EN DISTRIBUCIÓN DE PARCHES</v>
      </c>
      <c r="D57" s="2" t="s">
        <v>15</v>
      </c>
    </row>
    <row r="58" spans="1:4" x14ac:dyDescent="0.3">
      <c r="A58" t="str">
        <f t="shared" si="0"/>
        <v>SERVICIO DE INFRAESTRUCTURA FANDELI</v>
      </c>
      <c r="B58" t="str">
        <f t="shared" si="1"/>
        <v>ASIGNACIÓN DE PERMISOS ADMINISTRATIVOS</v>
      </c>
      <c r="D58" s="1" t="s">
        <v>34</v>
      </c>
    </row>
    <row r="59" spans="1:4" x14ac:dyDescent="0.3">
      <c r="A59" t="str">
        <f t="shared" si="0"/>
        <v>SERVICIO DE CNC</v>
      </c>
      <c r="B59" t="str">
        <f t="shared" si="1"/>
        <v>USUARIOS/ROLES</v>
      </c>
      <c r="D59" s="2" t="s">
        <v>5</v>
      </c>
    </row>
    <row r="60" spans="1:4" x14ac:dyDescent="0.3">
      <c r="A60" t="str">
        <f t="shared" si="0"/>
        <v>SERVICIO DE INFRAESTRUCTURA FANDELI</v>
      </c>
      <c r="B60" t="str">
        <f t="shared" si="1"/>
        <v>ABC EN CORREO</v>
      </c>
      <c r="D60" s="1" t="s">
        <v>17</v>
      </c>
    </row>
    <row r="61" spans="1:4" x14ac:dyDescent="0.3">
      <c r="A61" t="str">
        <f t="shared" si="0"/>
        <v>SERVICIO DE CNC</v>
      </c>
      <c r="B61" t="str">
        <f t="shared" si="1"/>
        <v>REVISIÓN DE ERRORES GENERALES EN EL SISTEMA</v>
      </c>
      <c r="D61" s="2" t="s">
        <v>4</v>
      </c>
    </row>
    <row r="62" spans="1:4" x14ac:dyDescent="0.3">
      <c r="A62" t="str">
        <f t="shared" si="0"/>
        <v>SERVICIO DE CNC</v>
      </c>
      <c r="B62" t="str">
        <f t="shared" si="1"/>
        <v>MANTENIMIENTO DEL SISTEMA</v>
      </c>
      <c r="D62" s="1" t="s">
        <v>6</v>
      </c>
    </row>
    <row r="63" spans="1:4" x14ac:dyDescent="0.3">
      <c r="A63" t="str">
        <f t="shared" si="0"/>
        <v>SERVICIO DE FINANZAS</v>
      </c>
      <c r="B63" t="str">
        <f t="shared" si="1"/>
        <v>CUENTAS POR COBRAR</v>
      </c>
      <c r="D63" s="2" t="s">
        <v>33</v>
      </c>
    </row>
    <row r="64" spans="1:4" x14ac:dyDescent="0.3">
      <c r="A64" t="str">
        <f t="shared" si="0"/>
        <v>SERVICIO DE INFRAESTRUCTURA FANDELI</v>
      </c>
      <c r="B64" t="str">
        <f t="shared" si="1"/>
        <v>CONFIGURACIÓN DE INFRAESTRUCTURA</v>
      </c>
      <c r="D64" s="1" t="s">
        <v>7</v>
      </c>
    </row>
    <row r="65" spans="1:4" x14ac:dyDescent="0.3">
      <c r="A65" t="str">
        <f t="shared" si="0"/>
        <v>SERVICIO DE INFRAESTRUCTURA FANDELI</v>
      </c>
      <c r="B65" t="str">
        <f t="shared" si="1"/>
        <v>CONFIGURACIÓN DE INFRAESTRUCTURA</v>
      </c>
      <c r="D65" s="2" t="s">
        <v>7</v>
      </c>
    </row>
    <row r="66" spans="1:4" x14ac:dyDescent="0.3">
      <c r="A66" t="str">
        <f t="shared" si="0"/>
        <v>SERVICIO DE INFRAESTRUCTURA FANDELI</v>
      </c>
      <c r="B66" t="str">
        <f t="shared" si="1"/>
        <v>ABC EN CORREO</v>
      </c>
      <c r="D66" s="1" t="s">
        <v>17</v>
      </c>
    </row>
    <row r="67" spans="1:4" x14ac:dyDescent="0.3">
      <c r="A67" t="str">
        <f t="shared" ref="A67:A120" si="2">MID(D67,1,FIND(".",D67,1)-1)</f>
        <v>SERVICIO DE CNC</v>
      </c>
      <c r="B67" t="str">
        <f t="shared" ref="B67:B120" si="3">MID(D67,FIND(".",D67,1)+1,LEN(D67)-FIND(".",D67))</f>
        <v>DESPLIEGUE DE PAQUETES DESARROLLO</v>
      </c>
      <c r="D67" s="2" t="s">
        <v>3</v>
      </c>
    </row>
    <row r="68" spans="1:4" x14ac:dyDescent="0.3">
      <c r="A68" t="str">
        <f t="shared" si="2"/>
        <v>SERVICIO DE CNC</v>
      </c>
      <c r="B68" t="str">
        <f t="shared" si="3"/>
        <v>USUARIOS/ROLES</v>
      </c>
      <c r="D68" s="1" t="s">
        <v>5</v>
      </c>
    </row>
    <row r="69" spans="1:4" x14ac:dyDescent="0.3">
      <c r="A69" t="str">
        <f t="shared" si="2"/>
        <v>SERVICIO DE FINANZAS</v>
      </c>
      <c r="B69" t="str">
        <f t="shared" si="3"/>
        <v>CONTABILIDAD GENERAL</v>
      </c>
      <c r="D69" s="2" t="s">
        <v>10</v>
      </c>
    </row>
    <row r="70" spans="1:4" x14ac:dyDescent="0.3">
      <c r="A70" t="str">
        <f t="shared" si="2"/>
        <v>SERVICIO DE INFRAESTRUCTURA FANDELI</v>
      </c>
      <c r="B70" t="str">
        <f t="shared" si="3"/>
        <v>ABC EN AD</v>
      </c>
      <c r="D70" s="1" t="s">
        <v>14</v>
      </c>
    </row>
    <row r="71" spans="1:4" x14ac:dyDescent="0.3">
      <c r="A71" t="str">
        <f t="shared" si="2"/>
        <v>SERVICIO DE CNC</v>
      </c>
      <c r="B71" t="str">
        <f t="shared" si="3"/>
        <v>DESPLIEGUE DE PAQUETES DESARROLLO</v>
      </c>
      <c r="D71" s="2" t="s">
        <v>3</v>
      </c>
    </row>
    <row r="72" spans="1:4" x14ac:dyDescent="0.3">
      <c r="A72" t="str">
        <f t="shared" si="2"/>
        <v>SERVICIO DE CNC</v>
      </c>
      <c r="B72" t="str">
        <f t="shared" si="3"/>
        <v>DESPLIEGUE DE PAQUETES DESARROLLO</v>
      </c>
      <c r="D72" s="1" t="s">
        <v>3</v>
      </c>
    </row>
    <row r="73" spans="1:4" x14ac:dyDescent="0.3">
      <c r="A73" t="str">
        <f t="shared" si="2"/>
        <v>SERVICIO DE CNC</v>
      </c>
      <c r="B73" t="str">
        <f t="shared" si="3"/>
        <v>DESPLIEGUE DE PAQUETES PRODUCCIÓN</v>
      </c>
      <c r="D73" s="2" t="s">
        <v>8</v>
      </c>
    </row>
    <row r="74" spans="1:4" x14ac:dyDescent="0.3">
      <c r="A74" t="str">
        <f t="shared" si="2"/>
        <v>SERVICIO DE INFRAESTRUCTURA FANDELI</v>
      </c>
      <c r="B74" t="str">
        <f t="shared" si="3"/>
        <v>CONFIGURACIÓN DE INFRAESTRUCTURA</v>
      </c>
      <c r="D74" s="1" t="s">
        <v>7</v>
      </c>
    </row>
    <row r="75" spans="1:4" x14ac:dyDescent="0.3">
      <c r="A75" t="str">
        <f t="shared" si="2"/>
        <v>SERVICIO DE CNC</v>
      </c>
      <c r="B75" t="str">
        <f t="shared" si="3"/>
        <v>DESPLIEGUE DE PAQUETES DESARROLLO</v>
      </c>
      <c r="D75" s="2" t="s">
        <v>3</v>
      </c>
    </row>
    <row r="76" spans="1:4" x14ac:dyDescent="0.3">
      <c r="A76" t="str">
        <f t="shared" si="2"/>
        <v>SERVICIO DE CNC</v>
      </c>
      <c r="B76" t="str">
        <f t="shared" si="3"/>
        <v>DESPLIEGUE DE PAQUETES DESARROLLO</v>
      </c>
      <c r="D76" s="1" t="s">
        <v>3</v>
      </c>
    </row>
    <row r="77" spans="1:4" x14ac:dyDescent="0.3">
      <c r="A77" t="str">
        <f t="shared" si="2"/>
        <v>SERVICIO DE INFRAESTRUCTURA FANDELI</v>
      </c>
      <c r="B77" t="str">
        <f t="shared" si="3"/>
        <v>MANTENIMIENTO DE SERVIDORES</v>
      </c>
      <c r="D77" s="2" t="s">
        <v>18</v>
      </c>
    </row>
    <row r="78" spans="1:4" x14ac:dyDescent="0.3">
      <c r="A78" t="str">
        <f t="shared" si="2"/>
        <v>SERVICIO DE CNC</v>
      </c>
      <c r="B78" t="str">
        <f t="shared" si="3"/>
        <v>MANTENIMIENTO DEL SISTEMA</v>
      </c>
      <c r="D78" s="1" t="s">
        <v>6</v>
      </c>
    </row>
    <row r="79" spans="1:4" x14ac:dyDescent="0.3">
      <c r="A79" t="str">
        <f t="shared" si="2"/>
        <v>SERVICIO DE CNC</v>
      </c>
      <c r="B79" t="str">
        <f t="shared" si="3"/>
        <v>DESPLIEGUE DE PAQUETES DESARROLLO</v>
      </c>
      <c r="D79" s="2" t="s">
        <v>3</v>
      </c>
    </row>
    <row r="80" spans="1:4" x14ac:dyDescent="0.3">
      <c r="A80" t="str">
        <f t="shared" si="2"/>
        <v>SERVICIO DE CNC</v>
      </c>
      <c r="B80" t="str">
        <f t="shared" si="3"/>
        <v>MANTENIMIENTO DEL SISTEMA</v>
      </c>
      <c r="D80" s="1" t="s">
        <v>6</v>
      </c>
    </row>
    <row r="81" spans="1:4" x14ac:dyDescent="0.3">
      <c r="A81" t="str">
        <f t="shared" si="2"/>
        <v>SERVICIO DE CNC</v>
      </c>
      <c r="B81" t="str">
        <f t="shared" si="3"/>
        <v>USUARIOS/ROLES</v>
      </c>
      <c r="D81" s="2" t="s">
        <v>5</v>
      </c>
    </row>
    <row r="82" spans="1:4" x14ac:dyDescent="0.3">
      <c r="A82" t="str">
        <f t="shared" si="2"/>
        <v>SERVICIO DE CNC</v>
      </c>
      <c r="B82" t="str">
        <f t="shared" si="3"/>
        <v>DESPLIEGUE DE PAQUETES DESARROLLO</v>
      </c>
      <c r="D82" s="1" t="s">
        <v>3</v>
      </c>
    </row>
    <row r="83" spans="1:4" x14ac:dyDescent="0.3">
      <c r="A83" t="str">
        <f t="shared" si="2"/>
        <v>SERVICIO DE CNC</v>
      </c>
      <c r="B83" t="str">
        <f t="shared" si="3"/>
        <v>DESPLIEGUE DE PAQUETES DESARROLLO</v>
      </c>
      <c r="D83" s="2" t="s">
        <v>3</v>
      </c>
    </row>
    <row r="84" spans="1:4" x14ac:dyDescent="0.3">
      <c r="A84" t="str">
        <f t="shared" si="2"/>
        <v>SERVICIO DE FACTURACIÓN 3_3</v>
      </c>
      <c r="B84" t="str">
        <f t="shared" si="3"/>
        <v>LA INFORMACIÓN DEL XML O PDF ES INCORRECTA</v>
      </c>
      <c r="D84" s="1" t="s">
        <v>35</v>
      </c>
    </row>
    <row r="85" spans="1:4" x14ac:dyDescent="0.3">
      <c r="A85" t="str">
        <f t="shared" si="2"/>
        <v>SERVICIO DE CNC</v>
      </c>
      <c r="B85" t="str">
        <f t="shared" si="3"/>
        <v>DESPLIEGUE DE PAQUETES DESARROLLO</v>
      </c>
      <c r="D85" s="2" t="s">
        <v>3</v>
      </c>
    </row>
    <row r="86" spans="1:4" x14ac:dyDescent="0.3">
      <c r="A86" t="str">
        <f t="shared" si="2"/>
        <v>SERVICIO DE CNC</v>
      </c>
      <c r="B86" t="str">
        <f t="shared" si="3"/>
        <v>MANTENIMIENTO DEL SISTEMA</v>
      </c>
      <c r="D86" s="1" t="s">
        <v>6</v>
      </c>
    </row>
    <row r="87" spans="1:4" x14ac:dyDescent="0.3">
      <c r="A87" t="str">
        <f t="shared" si="2"/>
        <v>SERVICIO DE CNC</v>
      </c>
      <c r="B87" t="str">
        <f t="shared" si="3"/>
        <v>DESPLIEGUE DE PAQUETES PRODUCCIÓN</v>
      </c>
      <c r="D87" s="2" t="s">
        <v>8</v>
      </c>
    </row>
    <row r="88" spans="1:4" x14ac:dyDescent="0.3">
      <c r="A88" t="str">
        <f t="shared" si="2"/>
        <v>SERVICIO DE CNC</v>
      </c>
      <c r="B88" t="str">
        <f t="shared" si="3"/>
        <v>DESPLIEGUE DE PAQUETES PRODUCCIÓN</v>
      </c>
      <c r="D88" s="1" t="s">
        <v>8</v>
      </c>
    </row>
    <row r="89" spans="1:4" x14ac:dyDescent="0.3">
      <c r="A89" t="str">
        <f t="shared" si="2"/>
        <v>SERVICIO DE DBA</v>
      </c>
      <c r="B89" t="str">
        <f t="shared" si="3"/>
        <v>IMPORTACIÓN/EXPORTACIÓN DE INFORMACIÓN</v>
      </c>
      <c r="D89" s="2" t="s">
        <v>20</v>
      </c>
    </row>
    <row r="90" spans="1:4" x14ac:dyDescent="0.3">
      <c r="A90" t="str">
        <f t="shared" si="2"/>
        <v>SERVICIO DE CNC</v>
      </c>
      <c r="B90" t="str">
        <f t="shared" si="3"/>
        <v>USUARIOS/ROLES</v>
      </c>
      <c r="D90" s="1" t="s">
        <v>5</v>
      </c>
    </row>
    <row r="91" spans="1:4" x14ac:dyDescent="0.3">
      <c r="A91" t="str">
        <f t="shared" si="2"/>
        <v>SERVICIO DE INFRAESTRUCTURA FANDELI</v>
      </c>
      <c r="B91" t="str">
        <f t="shared" si="3"/>
        <v>GENERACIÓN DE REPORTES</v>
      </c>
      <c r="D91" s="2" t="s">
        <v>36</v>
      </c>
    </row>
    <row r="92" spans="1:4" x14ac:dyDescent="0.3">
      <c r="A92" t="str">
        <f t="shared" si="2"/>
        <v>SERVICIO DE DBA</v>
      </c>
      <c r="B92" t="str">
        <f t="shared" si="3"/>
        <v>REVISIÓN DE PERFORMANCE DE LA BASE DE DATOS</v>
      </c>
      <c r="D92" s="1" t="s">
        <v>19</v>
      </c>
    </row>
    <row r="93" spans="1:4" x14ac:dyDescent="0.3">
      <c r="A93" t="str">
        <f t="shared" si="2"/>
        <v>SERVICIO DE INFRAESTRUCTURA FANDELI</v>
      </c>
      <c r="B93" t="str">
        <f t="shared" si="3"/>
        <v>ABC EN AD</v>
      </c>
      <c r="D93" s="2" t="s">
        <v>14</v>
      </c>
    </row>
    <row r="94" spans="1:4" x14ac:dyDescent="0.3">
      <c r="A94" t="str">
        <f t="shared" si="2"/>
        <v>SERVICIO DE CNC</v>
      </c>
      <c r="B94" t="str">
        <f t="shared" si="3"/>
        <v>USUARIOS/ROLES</v>
      </c>
      <c r="D94" s="1" t="s">
        <v>5</v>
      </c>
    </row>
    <row r="95" spans="1:4" x14ac:dyDescent="0.3">
      <c r="A95" t="str">
        <f t="shared" si="2"/>
        <v>SERVICIO DE CNC</v>
      </c>
      <c r="B95" t="str">
        <f t="shared" si="3"/>
        <v>USUARIOS/ROLES</v>
      </c>
      <c r="D95" s="2" t="s">
        <v>5</v>
      </c>
    </row>
    <row r="96" spans="1:4" x14ac:dyDescent="0.3">
      <c r="A96" t="str">
        <f t="shared" si="2"/>
        <v>SERVICIO DE CNC</v>
      </c>
      <c r="B96" t="str">
        <f t="shared" si="3"/>
        <v>DESPLIEGUE DE PAQUETES DESARROLLO</v>
      </c>
      <c r="D96" s="1" t="s">
        <v>3</v>
      </c>
    </row>
    <row r="97" spans="1:4" x14ac:dyDescent="0.3">
      <c r="A97" t="str">
        <f t="shared" si="2"/>
        <v>SERVICIO DE CNC</v>
      </c>
      <c r="B97" t="str">
        <f t="shared" si="3"/>
        <v>DESPLIEGUE DE PAQUETES DESARROLLO</v>
      </c>
      <c r="D97" s="2" t="s">
        <v>3</v>
      </c>
    </row>
    <row r="98" spans="1:4" x14ac:dyDescent="0.3">
      <c r="A98" t="str">
        <f t="shared" si="2"/>
        <v>SERVICIO DE CNC</v>
      </c>
      <c r="B98" t="str">
        <f t="shared" si="3"/>
        <v>USUARIOS/ROLES</v>
      </c>
      <c r="D98" s="1" t="s">
        <v>5</v>
      </c>
    </row>
    <row r="99" spans="1:4" x14ac:dyDescent="0.3">
      <c r="A99" t="str">
        <f t="shared" si="2"/>
        <v>SERVICIO DE CNC</v>
      </c>
      <c r="B99" t="str">
        <f t="shared" si="3"/>
        <v>DESPLIEGUE DE PAQUETES DESARROLLO</v>
      </c>
      <c r="D99" s="2" t="s">
        <v>3</v>
      </c>
    </row>
    <row r="100" spans="1:4" x14ac:dyDescent="0.3">
      <c r="A100" t="str">
        <f t="shared" si="2"/>
        <v>SERVICIO DE CNC</v>
      </c>
      <c r="B100" t="str">
        <f t="shared" si="3"/>
        <v>MANTENIMIENTO DEL SISTEMA</v>
      </c>
      <c r="D100" s="1" t="s">
        <v>6</v>
      </c>
    </row>
    <row r="101" spans="1:4" x14ac:dyDescent="0.3">
      <c r="A101" t="str">
        <f t="shared" si="2"/>
        <v>SERVICIO DE DBA</v>
      </c>
      <c r="B101" t="str">
        <f t="shared" si="3"/>
        <v>MANTENIMIENTO DE LA BASE DE DATOS</v>
      </c>
      <c r="D101" s="2" t="s">
        <v>37</v>
      </c>
    </row>
    <row r="102" spans="1:4" x14ac:dyDescent="0.3">
      <c r="A102" t="str">
        <f t="shared" si="2"/>
        <v>SERVICIO DE CNC</v>
      </c>
      <c r="B102" t="str">
        <f t="shared" si="3"/>
        <v>CLIENTE DE DESARROLLO</v>
      </c>
      <c r="D102" s="1" t="s">
        <v>27</v>
      </c>
    </row>
    <row r="103" spans="1:4" x14ac:dyDescent="0.3">
      <c r="A103" t="str">
        <f t="shared" si="2"/>
        <v>SERVICIO DE CNC</v>
      </c>
      <c r="B103" t="str">
        <f t="shared" si="3"/>
        <v>MANTENIMIENTO DEL SISTEMA</v>
      </c>
      <c r="D103" s="2" t="s">
        <v>6</v>
      </c>
    </row>
    <row r="104" spans="1:4" x14ac:dyDescent="0.3">
      <c r="A104" t="str">
        <f t="shared" si="2"/>
        <v>SERVICIO DE INFRAESTRUCTURA FANDELI</v>
      </c>
      <c r="B104" t="str">
        <f t="shared" si="3"/>
        <v>CONFIGURACIÓN DE INFRAESTRUCTURA</v>
      </c>
      <c r="D104" s="1" t="s">
        <v>7</v>
      </c>
    </row>
    <row r="105" spans="1:4" x14ac:dyDescent="0.3">
      <c r="A105" t="str">
        <f t="shared" si="2"/>
        <v>SERVICIO DE FINANZAS</v>
      </c>
      <c r="B105" t="str">
        <f t="shared" si="3"/>
        <v>ACTIVO FIJO</v>
      </c>
      <c r="D105" s="2" t="s">
        <v>38</v>
      </c>
    </row>
    <row r="106" spans="1:4" x14ac:dyDescent="0.3">
      <c r="A106" t="str">
        <f t="shared" si="2"/>
        <v>SERVICIO DE CNC</v>
      </c>
      <c r="B106" t="str">
        <f t="shared" si="3"/>
        <v>USUARIOS/ROLES</v>
      </c>
      <c r="D106" s="1" t="s">
        <v>5</v>
      </c>
    </row>
    <row r="107" spans="1:4" x14ac:dyDescent="0.3">
      <c r="A107" t="str">
        <f t="shared" si="2"/>
        <v>SERVICIO DE INFRAESTRUCTURA FANDELI</v>
      </c>
      <c r="B107" t="str">
        <f t="shared" si="3"/>
        <v>ABC EN POLÍTICAS AD</v>
      </c>
      <c r="D107" s="2" t="s">
        <v>21</v>
      </c>
    </row>
    <row r="108" spans="1:4" x14ac:dyDescent="0.3">
      <c r="A108" t="str">
        <f t="shared" si="2"/>
        <v>SERVICIO DE INFRAESTRUCTURA FANDELI</v>
      </c>
      <c r="B108" t="str">
        <f t="shared" si="3"/>
        <v>ABC EN RECURSOS COMPARTIDOS</v>
      </c>
      <c r="D108" s="1" t="s">
        <v>22</v>
      </c>
    </row>
    <row r="109" spans="1:4" x14ac:dyDescent="0.3">
      <c r="A109" t="str">
        <f t="shared" si="2"/>
        <v>SERVICIO DE INFRAESTRUCTURA FANDELI</v>
      </c>
      <c r="B109" t="str">
        <f t="shared" si="3"/>
        <v>ABC EN AD</v>
      </c>
      <c r="D109" s="2" t="s">
        <v>14</v>
      </c>
    </row>
    <row r="110" spans="1:4" x14ac:dyDescent="0.3">
      <c r="A110" t="str">
        <f t="shared" si="2"/>
        <v>SERVICIO DE CNC</v>
      </c>
      <c r="B110" t="str">
        <f t="shared" si="3"/>
        <v>DESPLIEGUE DE PAQUETES DESARROLLO</v>
      </c>
      <c r="D110" s="1" t="s">
        <v>3</v>
      </c>
    </row>
    <row r="111" spans="1:4" x14ac:dyDescent="0.3">
      <c r="A111" t="str">
        <f t="shared" si="2"/>
        <v>SERVICIO DE CNC</v>
      </c>
      <c r="B111" t="str">
        <f t="shared" si="3"/>
        <v>DESPLIEGUE DE PAQUETES DESARROLLO</v>
      </c>
      <c r="D111" s="2" t="s">
        <v>3</v>
      </c>
    </row>
    <row r="112" spans="1:4" x14ac:dyDescent="0.3">
      <c r="A112" t="str">
        <f t="shared" si="2"/>
        <v>SERVICIO DE CONTACT CENTER</v>
      </c>
      <c r="B112" t="str">
        <f t="shared" si="3"/>
        <v>CONFERENCIA</v>
      </c>
      <c r="D112" s="1" t="s">
        <v>13</v>
      </c>
    </row>
    <row r="113" spans="1:4" x14ac:dyDescent="0.3">
      <c r="A113" t="str">
        <f t="shared" si="2"/>
        <v>SERVICIO DE DESARROLLO JDE</v>
      </c>
      <c r="B113" t="str">
        <f t="shared" si="3"/>
        <v>HALLAZGO/BUG DE DESARROLLO</v>
      </c>
      <c r="D113" s="2" t="s">
        <v>12</v>
      </c>
    </row>
    <row r="114" spans="1:4" x14ac:dyDescent="0.3">
      <c r="A114" t="str">
        <f t="shared" si="2"/>
        <v>SERVICIO DE INFRAESTRUCTURA FANDELI</v>
      </c>
      <c r="B114" t="str">
        <f t="shared" si="3"/>
        <v>ABC EN AD</v>
      </c>
      <c r="D114" s="1" t="s">
        <v>14</v>
      </c>
    </row>
    <row r="115" spans="1:4" x14ac:dyDescent="0.3">
      <c r="A115" t="str">
        <f t="shared" si="2"/>
        <v>SERVICIO DE CNC</v>
      </c>
      <c r="B115" t="str">
        <f t="shared" si="3"/>
        <v>USUARIOS/ROLES</v>
      </c>
      <c r="D115" s="2" t="s">
        <v>5</v>
      </c>
    </row>
    <row r="116" spans="1:4" x14ac:dyDescent="0.3">
      <c r="A116" t="str">
        <f t="shared" si="2"/>
        <v>SERVICIO DE CNC</v>
      </c>
      <c r="B116" t="str">
        <f t="shared" si="3"/>
        <v>DESPLIEGUE DE PAQUETES DESARROLLO</v>
      </c>
      <c r="D116" s="1" t="s">
        <v>3</v>
      </c>
    </row>
    <row r="117" spans="1:4" x14ac:dyDescent="0.3">
      <c r="A117" t="str">
        <f t="shared" si="2"/>
        <v>SERVICIO DE CNC</v>
      </c>
      <c r="B117" t="str">
        <f t="shared" si="3"/>
        <v>DESPLIEGUE DE PAQUETES DESARROLLO</v>
      </c>
      <c r="D117" s="2" t="s">
        <v>3</v>
      </c>
    </row>
    <row r="118" spans="1:4" x14ac:dyDescent="0.3">
      <c r="A118" t="str">
        <f t="shared" si="2"/>
        <v>SERVICIO DE WEBSERVICE ONEST</v>
      </c>
      <c r="B118" t="str">
        <f t="shared" si="3"/>
        <v>NO RECIBE INFORMACIÓN</v>
      </c>
      <c r="D118" s="1" t="s">
        <v>23</v>
      </c>
    </row>
    <row r="119" spans="1:4" x14ac:dyDescent="0.3">
      <c r="A119" t="str">
        <f t="shared" si="2"/>
        <v>SERVICIO DE CNC</v>
      </c>
      <c r="B119" t="str">
        <f t="shared" si="3"/>
        <v>DESPLIEGUE DE PAQUETES DESARROLLO</v>
      </c>
      <c r="D119" s="2" t="s">
        <v>3</v>
      </c>
    </row>
    <row r="120" spans="1:4" x14ac:dyDescent="0.3">
      <c r="A120" t="str">
        <f t="shared" si="2"/>
        <v>SERVICIO DE CNC</v>
      </c>
      <c r="B120" t="str">
        <f t="shared" si="3"/>
        <v>DESPLIEGUE DE PAQUETES DESARROLLO</v>
      </c>
      <c r="D120" s="1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End to End 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Uriel García Córdova</dc:creator>
  <cp:lastModifiedBy>Santiago Uriel García Córdova</cp:lastModifiedBy>
  <dcterms:created xsi:type="dcterms:W3CDTF">2023-02-13T22:21:33Z</dcterms:created>
  <dcterms:modified xsi:type="dcterms:W3CDTF">2023-03-02T02:19:54Z</dcterms:modified>
</cp:coreProperties>
</file>